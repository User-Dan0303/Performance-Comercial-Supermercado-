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DB4516-6AA0-481E-945D-F4735A1378ED}" xr6:coauthVersionLast="47" xr6:coauthVersionMax="47" xr10:uidLastSave="{00000000-0000-0000-0000-000000000000}"/>
  <bookViews>
    <workbookView xWindow="-120" yWindow="-120" windowWidth="29040" windowHeight="15840" tabRatio="518" xr2:uid="{00000000-000D-0000-FFFF-FFFF00000000}"/>
  </bookViews>
  <sheets>
    <sheet name="Rentabilidad" sheetId="1" r:id="rId1"/>
    <sheet name="Ticket Promedio" sheetId="2" r:id="rId2"/>
    <sheet name="Análisis Temporal" sheetId="3" r:id="rId3"/>
    <sheet name="Franjas Horarias" sheetId="4" r:id="rId4"/>
  </sheets>
  <definedNames>
    <definedName name="CategoriasGrafico">{"Mañana";"Tarde";"Noche"}</definedName>
    <definedName name="MisGanancias">SUMIF('Franjas Horarias'!$A$2:$A$19, {"Mañana";"Tarde";"Noche"}, 'Franjas Horarias'!$F$2:$F$19)</definedName>
    <definedName name="SegmentaciónDeDatos_ciudad">#N/A</definedName>
    <definedName name="SegmentaciónDeDatos_sucursal">#N/A</definedName>
    <definedName name="ValoresGrafico">SUMIF('Franjas Horarias'!$A$2:$A$19,{"Mañana";"Tarde";"Noche"},'Franjas Horarias'!$F$2:$F$19)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J9" i="4"/>
  <c r="J7" i="4"/>
</calcChain>
</file>

<file path=xl/sharedStrings.xml><?xml version="1.0" encoding="utf-8"?>
<sst xmlns="http://schemas.openxmlformats.org/spreadsheetml/2006/main" count="191" uniqueCount="61">
  <si>
    <t>sucursal</t>
  </si>
  <si>
    <t>ciudad</t>
  </si>
  <si>
    <t>categoría_de_producto</t>
  </si>
  <si>
    <t>unidades_vendidas</t>
  </si>
  <si>
    <t>beneficio_bruto_total</t>
  </si>
  <si>
    <t>venta_total_acumulada</t>
  </si>
  <si>
    <t>margen_real_porcentaje</t>
  </si>
  <si>
    <t>Giza</t>
  </si>
  <si>
    <t>Naypyitaw</t>
  </si>
  <si>
    <t>Sports and travel</t>
  </si>
  <si>
    <t>Cairo</t>
  </si>
  <si>
    <t>Mandalay</t>
  </si>
  <si>
    <t>Electronic accessories</t>
  </si>
  <si>
    <t>Alex</t>
  </si>
  <si>
    <t>Yangon</t>
  </si>
  <si>
    <t>Home and lifestyle</t>
  </si>
  <si>
    <t>Fashion accessories</t>
  </si>
  <si>
    <t>Food and beverages</t>
  </si>
  <si>
    <t>Health and beauty</t>
  </si>
  <si>
    <t>tipo_de_cliente</t>
  </si>
  <si>
    <t>género</t>
  </si>
  <si>
    <t>total_transacciones</t>
  </si>
  <si>
    <t>ticket_promedio(imp_inc)</t>
  </si>
  <si>
    <t>articulos_promedio_por_ticket</t>
  </si>
  <si>
    <t>ganancia_total_aportada</t>
  </si>
  <si>
    <t>Member</t>
  </si>
  <si>
    <t>Female</t>
  </si>
  <si>
    <t>Normal</t>
  </si>
  <si>
    <t>Male</t>
  </si>
  <si>
    <t>número_día_semana</t>
  </si>
  <si>
    <t>día_semana</t>
  </si>
  <si>
    <t>método_de_pago</t>
  </si>
  <si>
    <t>cantidad_pagos</t>
  </si>
  <si>
    <t>facturación_total(imp_inc)</t>
  </si>
  <si>
    <t>carga_fiscal_total</t>
  </si>
  <si>
    <t>calificación_promedio</t>
  </si>
  <si>
    <t>Viernes</t>
  </si>
  <si>
    <t>Ewallet</t>
  </si>
  <si>
    <t>Sábado</t>
  </si>
  <si>
    <t>Credit card</t>
  </si>
  <si>
    <t>Cash</t>
  </si>
  <si>
    <t>Domingo</t>
  </si>
  <si>
    <t>Jueves</t>
  </si>
  <si>
    <t>Lunes</t>
  </si>
  <si>
    <t>Miércoles</t>
  </si>
  <si>
    <t>Martes</t>
  </si>
  <si>
    <t>franja_horaria</t>
  </si>
  <si>
    <t>cantidad_transacciones</t>
  </si>
  <si>
    <t>venta_total(imp_inc)</t>
  </si>
  <si>
    <t>ganancia_total_generada</t>
  </si>
  <si>
    <t>Mañana</t>
  </si>
  <si>
    <t>Noche</t>
  </si>
  <si>
    <t>Tarde</t>
  </si>
  <si>
    <t>Total general</t>
  </si>
  <si>
    <t>costo_total</t>
  </si>
  <si>
    <t>Día de la Semana</t>
  </si>
  <si>
    <t>Facturación Total (Con Imp.)</t>
  </si>
  <si>
    <t>Carga Fiscal Total</t>
  </si>
  <si>
    <t>Beneficio Bruto Total</t>
  </si>
  <si>
    <t>Promedio de Margen Real Porcentaje</t>
  </si>
  <si>
    <t>Categoría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</si>
</sst>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E8E6E3"/>
      <name val="Courier New"/>
      <family val="3"/>
    </font>
    <font>
      <sz val="11"/>
      <color theme="0" tint="-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3" fontId="0" fillId="0" borderId="0" xfId="0" applyNumberFormat="1"/>
    <xf numFmtId="43" fontId="0" fillId="0" borderId="0" xfId="1" applyFont="1"/>
    <xf numFmtId="0" fontId="2" fillId="0" borderId="0" xfId="0" applyFont="1"/>
    <xf numFmtId="0" fontId="3" fillId="0" borderId="0" xfId="0" applyFont="1"/>
  </cellXfs>
  <cellStyles count="2">
    <cellStyle name="Millares" xfId="1" builtinId="3"/>
    <cellStyle name="Normal" xfId="0" builtinId="0"/>
  </cellStyles>
  <dxfs count="3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left"/>
    </dxf>
    <dxf>
      <alignment horizontal="left"/>
    </dxf>
    <dxf>
      <numFmt numFmtId="35" formatCode="_-* #,##0.00_-;\-* #,##0.00_-;_-* &quot;-&quot;??_-;_-@_-"/>
    </dxf>
    <dxf>
      <alignment horizontal="left"/>
    </dxf>
    <dxf>
      <alignment horizontal="left"/>
    </dxf>
    <dxf>
      <numFmt numFmtId="35" formatCode="_-* #,##0.00_-;\-* #,##0.00_-;_-* &quot;-&quot;??_-;_-@_-"/>
    </dxf>
    <dxf>
      <alignment horizontal="left"/>
    </dxf>
    <dxf>
      <alignment horizontal="left"/>
    </dxf>
    <dxf>
      <numFmt numFmtId="35" formatCode="_-* #,##0.00_-;\-* #,##0.00_-;_-* &quot;-&quot;??_-;_-@_-"/>
    </dxf>
    <dxf>
      <alignment horizontal="left"/>
    </dxf>
    <dxf>
      <alignment horizontal="left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</dxfs>
  <tableStyles count="0" defaultTableStyle="TableStyleMedium9" defaultPivotStyle="PivotStyleLight16"/>
  <colors>
    <mruColors>
      <color rgb="FFA5D6E3"/>
      <color rgb="FF9CECD3"/>
      <color rgb="FF88E8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 Total Aportada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'Ticket Promedio'!$F$1</c:f>
              <c:strCache>
                <c:ptCount val="1"/>
                <c:pt idx="0">
                  <c:v>ganancia_total_aportada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777777777777779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90-44C0-A29F-4B1FE60E0703}"/>
                </c:ext>
              </c:extLst>
            </c:dLbl>
            <c:dLbl>
              <c:idx val="1"/>
              <c:layout>
                <c:manualLayout>
                  <c:x val="-5.0925337632079971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90-44C0-A29F-4B1FE60E0703}"/>
                </c:ext>
              </c:extLst>
            </c:dLbl>
            <c:dLbl>
              <c:idx val="2"/>
              <c:layout>
                <c:manualLayout>
                  <c:x val="0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90-44C0-A29F-4B1FE60E0703}"/>
                </c:ext>
              </c:extLst>
            </c:dLbl>
            <c:dLbl>
              <c:idx val="3"/>
              <c:layout>
                <c:manualLayout>
                  <c:x val="0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90-44C0-A29F-4B1FE60E07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'Ticket Promedio'!$A$2:$B$5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Member</c:v>
                  </c:pt>
                  <c:pt idx="1">
                    <c:v>Normal</c:v>
                  </c:pt>
                  <c:pt idx="2">
                    <c:v>Normal</c:v>
                  </c:pt>
                  <c:pt idx="3">
                    <c:v>Member</c:v>
                  </c:pt>
                </c:lvl>
              </c:multiLvlStrCache>
            </c:multiLvlStrRef>
          </c:cat>
          <c:val>
            <c:numRef>
              <c:f>'Ticket Promedio'!$F$2:$F$5</c:f>
              <c:numCache>
                <c:formatCode>_(* #,##0.00_);_(* \(#,##0.00\);_(* "-"??_);_(@_)</c:formatCode>
                <c:ptCount val="4"/>
                <c:pt idx="0">
                  <c:v>5962.43</c:v>
                </c:pt>
                <c:pt idx="1">
                  <c:v>3038.53</c:v>
                </c:pt>
                <c:pt idx="2">
                  <c:v>3308.04</c:v>
                </c:pt>
                <c:pt idx="3">
                  <c:v>3071.05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0-44C0-A29F-4B1FE60E07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6583407"/>
        <c:axId val="2046584239"/>
        <c:axId val="0"/>
      </c:bar3DChart>
      <c:catAx>
        <c:axId val="204658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46584239"/>
        <c:crosses val="autoZero"/>
        <c:auto val="1"/>
        <c:lblAlgn val="ctr"/>
        <c:lblOffset val="100"/>
        <c:noMultiLvlLbl val="0"/>
      </c:catAx>
      <c:valAx>
        <c:axId val="20465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4658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bg1">
            <a:lumMod val="95000"/>
          </a:schemeClr>
        </a:gs>
        <a:gs pos="59000">
          <a:schemeClr val="accent5">
            <a:lumMod val="40000"/>
            <a:lumOff val="60000"/>
          </a:schemeClr>
        </a:gs>
        <a:gs pos="78000">
          <a:srgbClr val="A5D6E3"/>
        </a:gs>
        <a:gs pos="100000">
          <a:srgbClr val="9CECD3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A40000"/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2.0381129397076991E-2"/>
              <c:y val="3.869832893579595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8522752056842697E-2"/>
              <c:y val="-2.110817941952506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3.7015723361335999E-3"/>
              <c:y val="-2.462620932277924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1.1123986906979888E-2"/>
              <c:y val="7.0360598065083556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5.56199345348991E-3"/>
              <c:y val="-3.5180299032541778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5.56199345348991E-3"/>
              <c:y val="-3.5180299032541778E-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"/>
              <c:y val="1.4072119613016711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962088072324295E-2"/>
          <c:y val="0.12573502496164241"/>
          <c:w val="0.52875244048885983"/>
          <c:h val="0.67397031835400534"/>
        </c:manualLayout>
      </c:layout>
      <c:barChart>
        <c:barDir val="col"/>
        <c:grouping val="clustered"/>
        <c:varyColors val="0"/>
        <c:ser>
          <c:idx val="0"/>
          <c:order val="0"/>
          <c:tx>
            <c:v>Facturación Total (Con Imp.)</c:v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1.4072119613016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18-4A47-AFD5-FBD5AF2FABE0}"/>
                </c:ext>
              </c:extLst>
            </c:dLbl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Lunes</c:v>
              </c:pt>
              <c:pt idx="1">
                <c:v>Martes</c:v>
              </c:pt>
              <c:pt idx="2">
                <c:v>Miércoles</c:v>
              </c:pt>
              <c:pt idx="3">
                <c:v>Jueves</c:v>
              </c:pt>
              <c:pt idx="4">
                <c:v>Viernes</c:v>
              </c:pt>
              <c:pt idx="5">
                <c:v>Sábado</c:v>
              </c:pt>
              <c:pt idx="6">
                <c:v>Domingo</c:v>
              </c:pt>
            </c:strLit>
          </c:cat>
          <c:val>
            <c:numLit>
              <c:formatCode>General</c:formatCode>
              <c:ptCount val="7"/>
              <c:pt idx="0">
                <c:v>37899.149999999994</c:v>
              </c:pt>
              <c:pt idx="1">
                <c:v>51482.39</c:v>
              </c:pt>
              <c:pt idx="2">
                <c:v>43731.240000000005</c:v>
              </c:pt>
              <c:pt idx="3">
                <c:v>45349.34</c:v>
              </c:pt>
              <c:pt idx="4">
                <c:v>43926.43</c:v>
              </c:pt>
              <c:pt idx="5">
                <c:v>56120.859999999993</c:v>
              </c:pt>
              <c:pt idx="6">
                <c:v>44458.02</c:v>
              </c:pt>
            </c:numLit>
          </c:val>
          <c:extLst>
            <c:ext xmlns:c16="http://schemas.microsoft.com/office/drawing/2014/chart" uri="{C3380CC4-5D6E-409C-BE32-E72D297353CC}">
              <c16:uniqueId val="{00000000-0018-4A47-AFD5-FBD5AF2F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448383"/>
        <c:axId val="673457535"/>
      </c:barChart>
      <c:lineChart>
        <c:grouping val="standard"/>
        <c:varyColors val="0"/>
        <c:ser>
          <c:idx val="1"/>
          <c:order val="1"/>
          <c:tx>
            <c:v>Carga Fiscal 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7015723361335999E-3"/>
                  <c:y val="-2.4626209322779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18-4A47-AFD5-FBD5AF2FABE0}"/>
                </c:ext>
              </c:extLst>
            </c:dLbl>
            <c:dLbl>
              <c:idx val="2"/>
              <c:layout>
                <c:manualLayout>
                  <c:x val="-2.0381129397076991E-2"/>
                  <c:y val="3.8698328935795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18-4A47-AFD5-FBD5AF2FABE0}"/>
                </c:ext>
              </c:extLst>
            </c:dLbl>
            <c:dLbl>
              <c:idx val="3"/>
              <c:layout>
                <c:manualLayout>
                  <c:x val="-1.8522752056842697E-2"/>
                  <c:y val="-2.1108179419525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18-4A47-AFD5-FBD5AF2FABE0}"/>
                </c:ext>
              </c:extLst>
            </c:dLbl>
            <c:dLbl>
              <c:idx val="4"/>
              <c:layout>
                <c:manualLayout>
                  <c:x val="-1.1123986906979888E-2"/>
                  <c:y val="7.03605980650835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18-4A47-AFD5-FBD5AF2FABE0}"/>
                </c:ext>
              </c:extLst>
            </c:dLbl>
            <c:dLbl>
              <c:idx val="5"/>
              <c:layout>
                <c:manualLayout>
                  <c:x val="-5.56199345348991E-3"/>
                  <c:y val="-3.51802990325417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18-4A47-AFD5-FBD5AF2FABE0}"/>
                </c:ext>
              </c:extLst>
            </c:dLbl>
            <c:dLbl>
              <c:idx val="6"/>
              <c:layout>
                <c:manualLayout>
                  <c:x val="-5.56199345348991E-3"/>
                  <c:y val="-3.51802990325417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18-4A47-AFD5-FBD5AF2FABE0}"/>
                </c:ext>
              </c:extLst>
            </c:dLbl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A40000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Lunes</c:v>
              </c:pt>
              <c:pt idx="1">
                <c:v>Martes</c:v>
              </c:pt>
              <c:pt idx="2">
                <c:v>Miércoles</c:v>
              </c:pt>
              <c:pt idx="3">
                <c:v>Jueves</c:v>
              </c:pt>
              <c:pt idx="4">
                <c:v>Viernes</c:v>
              </c:pt>
              <c:pt idx="5">
                <c:v>Sábado</c:v>
              </c:pt>
              <c:pt idx="6">
                <c:v>Domingo</c:v>
              </c:pt>
            </c:strLit>
          </c:cat>
          <c:val>
            <c:numLit>
              <c:formatCode>General</c:formatCode>
              <c:ptCount val="7"/>
              <c:pt idx="0">
                <c:v>1804.79</c:v>
              </c:pt>
              <c:pt idx="1">
                <c:v>2451.6800000000003</c:v>
              </c:pt>
              <c:pt idx="2">
                <c:v>2082.54</c:v>
              </c:pt>
              <c:pt idx="3">
                <c:v>2159.58</c:v>
              </c:pt>
              <c:pt idx="4">
                <c:v>2091.8200000000002</c:v>
              </c:pt>
              <c:pt idx="5">
                <c:v>2672.47</c:v>
              </c:pt>
              <c:pt idx="6">
                <c:v>2117.17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018-4A47-AFD5-FBD5AF2F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91903"/>
        <c:axId val="798607711"/>
      </c:lineChart>
      <c:catAx>
        <c:axId val="6734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673457535"/>
        <c:crosses val="autoZero"/>
        <c:auto val="1"/>
        <c:lblAlgn val="ctr"/>
        <c:lblOffset val="100"/>
        <c:noMultiLvlLbl val="0"/>
      </c:catAx>
      <c:valAx>
        <c:axId val="67345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673448383"/>
        <c:crosses val="autoZero"/>
        <c:crossBetween val="between"/>
      </c:valAx>
      <c:valAx>
        <c:axId val="7986077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798591903"/>
        <c:crosses val="max"/>
        <c:crossBetween val="between"/>
      </c:valAx>
      <c:catAx>
        <c:axId val="798591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8607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27380774071812"/>
          <c:y val="0.40100305403777026"/>
          <c:w val="0.29197283177874889"/>
          <c:h val="0.18040374240818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Ganancia Total Generada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4CA-4727-84D7-6886508A14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2-4118-8711-38327D0323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22-4118-8711-38327D032304}"/>
              </c:ext>
            </c:extLst>
          </c:dPt>
          <c:dLbls>
            <c:dLbl>
              <c:idx val="0"/>
              <c:layout>
                <c:manualLayout>
                  <c:x val="-0.10861748384978794"/>
                  <c:y val="0.171341701099243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CA-4727-84D7-6886508A14CA}"/>
                </c:ext>
              </c:extLst>
            </c:dLbl>
            <c:dLbl>
              <c:idx val="1"/>
              <c:layout>
                <c:manualLayout>
                  <c:x val="-0.10420826782368935"/>
                  <c:y val="-0.249568704901986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22-4118-8711-38327D032304}"/>
                </c:ext>
              </c:extLst>
            </c:dLbl>
            <c:dLbl>
              <c:idx val="2"/>
              <c:layout>
                <c:manualLayout>
                  <c:x val="0.13608734161942646"/>
                  <c:y val="0.139163743145968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22-4118-8711-38327D0323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'Franjas Horarias'!$I$7:$I$9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'Franjas Horarias'!$J$7:$J$9</c:f>
              <c:numCache>
                <c:formatCode>General</c:formatCode>
                <c:ptCount val="3"/>
                <c:pt idx="0">
                  <c:v>2942.9900000000002</c:v>
                </c:pt>
                <c:pt idx="1">
                  <c:v>8213.1600000000017</c:v>
                </c:pt>
                <c:pt idx="2">
                  <c:v>4223.8999999999996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A-4727-84D7-6886508A14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</c:legendEntry>
      <c:layout>
        <c:manualLayout>
          <c:xMode val="edge"/>
          <c:yMode val="edge"/>
          <c:x val="0.2427338145231846"/>
          <c:y val="0.84161095757070103"/>
          <c:w val="0.49508792650918637"/>
          <c:h val="0.13189897620413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bg1">
            <a:lumMod val="95000"/>
          </a:schemeClr>
        </a:gs>
        <a:gs pos="70000">
          <a:schemeClr val="accent5">
            <a:lumMod val="40000"/>
            <a:lumOff val="60000"/>
          </a:schemeClr>
        </a:gs>
        <a:gs pos="83000">
          <a:schemeClr val="accent5">
            <a:lumMod val="60000"/>
            <a:lumOff val="40000"/>
          </a:schemeClr>
        </a:gs>
        <a:gs pos="100000">
          <a:schemeClr val="accent5">
            <a:lumMod val="60000"/>
            <a:lumOff val="40000"/>
          </a:schemeClr>
        </a:gs>
      </a:gsLst>
      <a:lin ang="5400000" scaled="1"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22</xdr:row>
      <xdr:rowOff>0</xdr:rowOff>
    </xdr:from>
    <xdr:to>
      <xdr:col>5</xdr:col>
      <xdr:colOff>1485900</xdr:colOff>
      <xdr:row>29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cursal 1">
              <a:extLst>
                <a:ext uri="{FF2B5EF4-FFF2-40B4-BE49-F238E27FC236}">
                  <a16:creationId xmlns:a16="http://schemas.microsoft.com/office/drawing/2014/main" id="{4F7DA853-A2A1-46A8-96EC-C622151224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199" y="4191000"/>
              <a:ext cx="1381125" cy="1343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1600200</xdr:colOff>
      <xdr:row>29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udad 1">
              <a:extLst>
                <a:ext uri="{FF2B5EF4-FFF2-40B4-BE49-F238E27FC236}">
                  <a16:creationId xmlns:a16="http://schemas.microsoft.com/office/drawing/2014/main" id="{10A1B646-217A-48A9-BF40-36D1E71389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1625" y="4191000"/>
              <a:ext cx="1600200" cy="134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Y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628649</xdr:colOff>
      <xdr:row>8</xdr:row>
      <xdr:rowOff>1</xdr:rowOff>
    </xdr:from>
    <xdr:to>
      <xdr:col>5</xdr:col>
      <xdr:colOff>0</xdr:colOff>
      <xdr:row>23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CE3D49-C857-4302-8AF2-069C07670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247650</xdr:colOff>
      <xdr:row>20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D6C666-F0EE-4440-8984-68205C155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190499</xdr:rowOff>
    </xdr:from>
    <xdr:to>
      <xdr:col>13</xdr:col>
      <xdr:colOff>609599</xdr:colOff>
      <xdr:row>16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AADCAFA-D8C6-4C71-A6F4-7C4A73CCF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dan" refreshedDate="46282.751402546295" createdVersion="7" refreshedVersion="7" minRefreshableVersion="3" recordCount="21" xr:uid="{61F9CD36-FE64-40F4-A4A5-64FECF529898}">
  <cacheSource type="worksheet">
    <worksheetSource ref="A1:G22" sheet="Análisis Temporal"/>
  </cacheSource>
  <cacheFields count="7">
    <cacheField name="número_día_semana" numFmtId="0">
      <sharedItems containsSemiMixedTypes="0" containsString="0" containsNumber="1" containsInteger="1" minValue="1" maxValue="7" count="7">
        <n v="5"/>
        <n v="6"/>
        <n v="7"/>
        <n v="4"/>
        <n v="1"/>
        <n v="3"/>
        <n v="2"/>
      </sharedItems>
    </cacheField>
    <cacheField name="día_semana" numFmtId="0">
      <sharedItems count="7">
        <s v="Viernes"/>
        <s v="Sábado"/>
        <s v="Domingo"/>
        <s v="Jueves"/>
        <s v="Lunes"/>
        <s v="Miércoles"/>
        <s v="Martes"/>
      </sharedItems>
    </cacheField>
    <cacheField name="método_de_pago" numFmtId="0">
      <sharedItems count="3">
        <s v="Ewallet"/>
        <s v="Credit card"/>
        <s v="Cash"/>
      </sharedItems>
    </cacheField>
    <cacheField name="cantidad_pagos" numFmtId="0">
      <sharedItems containsSemiMixedTypes="0" containsString="0" containsNumber="1" containsInteger="1" minValue="36" maxValue="60"/>
    </cacheField>
    <cacheField name="facturación_total(imp_inc)" numFmtId="0">
      <sharedItems containsSemiMixedTypes="0" containsString="0" containsNumber="1" minValue="12077.03" maxValue="20524.099999999999"/>
    </cacheField>
    <cacheField name="carga_fiscal_total" numFmtId="0">
      <sharedItems containsSemiMixedTypes="0" containsString="0" containsNumber="1" minValue="575.11" maxValue="977.33"/>
    </cacheField>
    <cacheField name="calificación_promedio" numFmtId="0">
      <sharedItems containsSemiMixedTypes="0" containsString="0" containsNumber="1" minValue="6.59" maxValue="7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dan" refreshedDate="46282.793133796295" createdVersion="7" refreshedVersion="7" minRefreshableVersion="3" recordCount="18" xr:uid="{997F383D-4111-48DC-A608-3413C995F29C}">
  <cacheSource type="worksheet">
    <worksheetSource ref="A1:H19" sheet="Rentabilidad"/>
  </cacheSource>
  <cacheFields count="8">
    <cacheField name="sucursal" numFmtId="0">
      <sharedItems count="3">
        <s v="Giza"/>
        <s v="Cairo"/>
        <s v="Alex"/>
      </sharedItems>
    </cacheField>
    <cacheField name="ciudad" numFmtId="0">
      <sharedItems count="3">
        <s v="Naypyitaw"/>
        <s v="Mandalay"/>
        <s v="Yangon"/>
      </sharedItems>
    </cacheField>
    <cacheField name="categoría_de_producto" numFmtId="0">
      <sharedItems count="6">
        <s v="Sports and travel"/>
        <s v="Electronic accessories"/>
        <s v="Home and lifestyle"/>
        <s v="Fashion accessories"/>
        <s v="Food and beverages"/>
        <s v="Health and beauty"/>
      </sharedItems>
    </cacheField>
    <cacheField name="unidades_vendidas" numFmtId="0">
      <sharedItems containsSemiMixedTypes="0" containsString="0" containsNumber="1" containsInteger="1" minValue="245" maxValue="371" count="16">
        <n v="265"/>
        <n v="316"/>
        <n v="371"/>
        <n v="342"/>
        <n v="313"/>
        <n v="245"/>
        <n v="320"/>
        <n v="263"/>
        <n v="369"/>
        <n v="333"/>
        <n v="297"/>
        <n v="277"/>
        <n v="295"/>
        <n v="322"/>
        <n v="270"/>
        <n v="257"/>
      </sharedItems>
    </cacheField>
    <cacheField name="sum" numFmtId="0">
      <sharedItems containsSemiMixedTypes="0" containsString="0" containsNumber="1" minValue="11997.86" maxValue="22635.1"/>
    </cacheField>
    <cacheField name="beneficio_bruto_total" numFmtId="0">
      <sharedItems containsSemiMixedTypes="0" containsString="0" containsNumber="1" minValue="599.92999999999995" maxValue="1131.78"/>
    </cacheField>
    <cacheField name="venta_total_acumulada" numFmtId="0">
      <sharedItems containsSemiMixedTypes="0" containsString="0" containsNumber="1" minValue="12597.79" maxValue="23766.880000000001"/>
    </cacheField>
    <cacheField name="margen_real_porcentaje" numFmtId="0">
      <sharedItems containsSemiMixedTypes="0" containsString="0" containsNumber="1" minValue="4.76" maxValue="4.76"/>
    </cacheField>
  </cacheFields>
  <extLst>
    <ext xmlns:x14="http://schemas.microsoft.com/office/spreadsheetml/2009/9/main" uri="{725AE2AE-9491-48be-B2B4-4EB974FC3084}">
      <x14:pivotCacheDefinition pivotCacheId="1670074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n v="43"/>
    <n v="13118.55"/>
    <n v="624.73"/>
    <n v="7.07"/>
  </r>
  <r>
    <x v="1"/>
    <x v="1"/>
    <x v="1"/>
    <n v="47"/>
    <n v="16573.84"/>
    <n v="789.26"/>
    <n v="7.26"/>
  </r>
  <r>
    <x v="0"/>
    <x v="0"/>
    <x v="2"/>
    <n v="48"/>
    <n v="15098.42"/>
    <n v="719.01"/>
    <n v="7.09"/>
  </r>
  <r>
    <x v="2"/>
    <x v="2"/>
    <x v="1"/>
    <n v="41"/>
    <n v="13261.89"/>
    <n v="631.57000000000005"/>
    <n v="6.86"/>
  </r>
  <r>
    <x v="1"/>
    <x v="1"/>
    <x v="2"/>
    <n v="60"/>
    <n v="19022.919999999998"/>
    <n v="905.88"/>
    <n v="6.75"/>
  </r>
  <r>
    <x v="3"/>
    <x v="3"/>
    <x v="0"/>
    <n v="57"/>
    <n v="18530.04"/>
    <n v="882.42"/>
    <n v="6.93"/>
  </r>
  <r>
    <x v="4"/>
    <x v="4"/>
    <x v="2"/>
    <n v="47"/>
    <n v="13127.22"/>
    <n v="625.11"/>
    <n v="7.43"/>
  </r>
  <r>
    <x v="5"/>
    <x v="5"/>
    <x v="1"/>
    <n v="49"/>
    <n v="13487.15"/>
    <n v="642.27"/>
    <n v="6.97"/>
  </r>
  <r>
    <x v="2"/>
    <x v="2"/>
    <x v="0"/>
    <n v="45"/>
    <n v="13537.6"/>
    <n v="644.69000000000005"/>
    <n v="7.42"/>
  </r>
  <r>
    <x v="3"/>
    <x v="3"/>
    <x v="2"/>
    <n v="45"/>
    <n v="14742.27"/>
    <n v="702.05"/>
    <n v="6.78"/>
  </r>
  <r>
    <x v="6"/>
    <x v="6"/>
    <x v="0"/>
    <n v="56"/>
    <n v="19230.509999999998"/>
    <n v="915.8"/>
    <n v="6.83"/>
  </r>
  <r>
    <x v="6"/>
    <x v="6"/>
    <x v="1"/>
    <n v="52"/>
    <n v="17154.2"/>
    <n v="816.93"/>
    <n v="7.02"/>
  </r>
  <r>
    <x v="4"/>
    <x v="4"/>
    <x v="1"/>
    <n v="38"/>
    <n v="12503.72"/>
    <n v="595.42999999999995"/>
    <n v="6.81"/>
  </r>
  <r>
    <x v="6"/>
    <x v="6"/>
    <x v="2"/>
    <n v="50"/>
    <n v="15097.68"/>
    <n v="718.95"/>
    <n v="7.18"/>
  </r>
  <r>
    <x v="1"/>
    <x v="1"/>
    <x v="0"/>
    <n v="57"/>
    <n v="20524.099999999999"/>
    <n v="977.33"/>
    <n v="6.77"/>
  </r>
  <r>
    <x v="0"/>
    <x v="0"/>
    <x v="1"/>
    <n v="48"/>
    <n v="15709.46"/>
    <n v="748.08"/>
    <n v="7.07"/>
  </r>
  <r>
    <x v="5"/>
    <x v="5"/>
    <x v="0"/>
    <n v="47"/>
    <n v="12784.37"/>
    <n v="608.82000000000005"/>
    <n v="6.59"/>
  </r>
  <r>
    <x v="5"/>
    <x v="5"/>
    <x v="2"/>
    <n v="47"/>
    <n v="17459.72"/>
    <n v="831.45"/>
    <n v="6.86"/>
  </r>
  <r>
    <x v="3"/>
    <x v="3"/>
    <x v="1"/>
    <n v="36"/>
    <n v="12077.03"/>
    <n v="575.11"/>
    <n v="6.97"/>
  </r>
  <r>
    <x v="4"/>
    <x v="4"/>
    <x v="0"/>
    <n v="40"/>
    <n v="12268.21"/>
    <n v="584.25"/>
    <n v="7.16"/>
  </r>
  <r>
    <x v="2"/>
    <x v="2"/>
    <x v="2"/>
    <n v="47"/>
    <n v="17658.53"/>
    <n v="840.91"/>
    <n v="6.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x v="0"/>
    <n v="15011.36"/>
    <n v="750.63"/>
    <n v="15761.99"/>
    <n v="4.76"/>
  </r>
  <r>
    <x v="1"/>
    <x v="1"/>
    <x v="1"/>
    <x v="1"/>
    <n v="16239.47"/>
    <n v="812.05"/>
    <n v="17051.52"/>
    <n v="4.76"/>
  </r>
  <r>
    <x v="2"/>
    <x v="2"/>
    <x v="2"/>
    <x v="2"/>
    <n v="21349.71"/>
    <n v="1067.5"/>
    <n v="22417.21"/>
    <n v="4.76"/>
  </r>
  <r>
    <x v="0"/>
    <x v="0"/>
    <x v="3"/>
    <x v="3"/>
    <n v="20533.400000000001"/>
    <n v="1026.71"/>
    <n v="21560.11"/>
    <n v="4.76"/>
  </r>
  <r>
    <x v="2"/>
    <x v="2"/>
    <x v="4"/>
    <x v="4"/>
    <n v="16345.81"/>
    <n v="817.34"/>
    <n v="17163.150000000001"/>
    <n v="4.76"/>
  </r>
  <r>
    <x v="0"/>
    <x v="0"/>
    <x v="2"/>
    <x v="5"/>
    <n v="13233.86"/>
    <n v="661.68"/>
    <n v="13895.54"/>
    <n v="4.76"/>
  </r>
  <r>
    <x v="1"/>
    <x v="1"/>
    <x v="5"/>
    <x v="6"/>
    <n v="19029.2"/>
    <n v="951.5"/>
    <n v="19980.7"/>
    <n v="4.76"/>
  </r>
  <r>
    <x v="2"/>
    <x v="2"/>
    <x v="3"/>
    <x v="7"/>
    <n v="15554.77"/>
    <n v="777.77"/>
    <n v="16332.54"/>
    <n v="4.76"/>
  </r>
  <r>
    <x v="0"/>
    <x v="0"/>
    <x v="4"/>
    <x v="8"/>
    <n v="22635.1"/>
    <n v="1131.78"/>
    <n v="23766.880000000001"/>
    <n v="4.76"/>
  </r>
  <r>
    <x v="0"/>
    <x v="0"/>
    <x v="1"/>
    <x v="9"/>
    <n v="18065.689999999999"/>
    <n v="903.3"/>
    <n v="18968.990000000002"/>
    <n v="4.76"/>
  </r>
  <r>
    <x v="1"/>
    <x v="1"/>
    <x v="3"/>
    <x v="10"/>
    <n v="15631.73"/>
    <n v="781.65"/>
    <n v="16413.38"/>
    <n v="4.76"/>
  </r>
  <r>
    <x v="0"/>
    <x v="0"/>
    <x v="5"/>
    <x v="11"/>
    <n v="15824.12"/>
    <n v="791.23"/>
    <n v="16615.349999999999"/>
    <n v="4.76"/>
  </r>
  <r>
    <x v="1"/>
    <x v="1"/>
    <x v="2"/>
    <x v="12"/>
    <n v="16713.490000000002"/>
    <n v="835.72"/>
    <n v="17549.21"/>
    <n v="4.76"/>
  </r>
  <r>
    <x v="2"/>
    <x v="2"/>
    <x v="0"/>
    <x v="9"/>
    <n v="18450.189999999999"/>
    <n v="922.56"/>
    <n v="19372.75"/>
    <n v="4.76"/>
  </r>
  <r>
    <x v="1"/>
    <x v="1"/>
    <x v="0"/>
    <x v="13"/>
    <n v="19036.38"/>
    <n v="951.88"/>
    <n v="19988.259999999998"/>
    <n v="4.76"/>
  </r>
  <r>
    <x v="1"/>
    <x v="1"/>
    <x v="4"/>
    <x v="14"/>
    <n v="14490.37"/>
    <n v="724.56"/>
    <n v="15214.93"/>
    <n v="4.76"/>
  </r>
  <r>
    <x v="2"/>
    <x v="2"/>
    <x v="5"/>
    <x v="15"/>
    <n v="11997.86"/>
    <n v="599.92999999999995"/>
    <n v="12597.79"/>
    <n v="4.76"/>
  </r>
  <r>
    <x v="2"/>
    <x v="2"/>
    <x v="1"/>
    <x v="13"/>
    <n v="17444.87"/>
    <n v="872.26"/>
    <n v="18317.13"/>
    <n v="4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5AC2-2E69-4F0D-ADD4-11A97678133E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tegoría de Producto">
  <location ref="B23:D30" firstHeaderRow="0" firstDataRow="1" firstDataCol="1"/>
  <pivotFields count="8">
    <pivotField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7">
        <item x="1"/>
        <item x="3"/>
        <item x="4"/>
        <item x="5"/>
        <item x="2"/>
        <item x="0"/>
        <item t="default"/>
      </items>
    </pivotField>
    <pivotField showAll="0">
      <items count="17">
        <item x="5"/>
        <item x="15"/>
        <item x="7"/>
        <item x="0"/>
        <item x="14"/>
        <item x="11"/>
        <item x="12"/>
        <item x="10"/>
        <item x="4"/>
        <item x="1"/>
        <item x="6"/>
        <item x="13"/>
        <item x="9"/>
        <item x="3"/>
        <item x="8"/>
        <item x="2"/>
        <item t="default"/>
      </items>
    </pivotField>
    <pivotField showAll="0"/>
    <pivotField dataField="1"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Beneficio Bruto Total" fld="5" baseField="2" baseItem="0"/>
    <dataField name="Promedio de Margen Real Porcentaje" fld="7" subtotal="average" baseField="2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72B22-5E69-4234-9964-77999FECE84C}" name="TablaDinámica1" cacheId="0" dataPosition="0" applyNumberFormats="0" applyBorderFormats="0" applyFontFormats="0" applyPatternFormats="0" applyAlignmentFormats="0" applyWidthHeightFormats="1" dataCaption="Valores" updatedVersion="7" minRefreshableVersion="3" useAutoFormatting="1" itemPrintTitles="1" mergeItem="1" createdVersion="7" indent="0" outline="1" outlineData="1" multipleFieldFilters="0" chartFormat="32" rowHeaderCaption="Día de la Semana">
  <location ref="A26:C34" firstHeaderRow="0" firstDataRow="1" firstDataCol="1"/>
  <pivotFields count="7">
    <pivotField multipleItemSelectionAllowed="1" showAll="0">
      <items count="8">
        <item x="4"/>
        <item x="6"/>
        <item x="5"/>
        <item x="3"/>
        <item x="0"/>
        <item x="1"/>
        <item x="2"/>
        <item t="default"/>
      </items>
    </pivotField>
    <pivotField axis="axisRow" showAll="0">
      <items count="8">
        <item x="4"/>
        <item x="6"/>
        <item x="5"/>
        <item x="3"/>
        <item x="0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 (Con Imp.)" fld="4" baseField="1" baseItem="0"/>
    <dataField name="Carga Fiscal Total" fld="5" baseField="1" baseItem="0"/>
  </dataFields>
  <formats count="3"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outline="0" collapsedLevelsAreSubtotals="1" fieldPosition="0"/>
    </format>
  </formats>
  <chartFormats count="2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A9AC0F84-FD68-4275-8A1E-7B47B17052BF}" sourceName="sucursal">
  <pivotTables>
    <pivotTable tabId="1" name="TablaDinámica2"/>
  </pivotTables>
  <data>
    <tabular pivotCacheId="1670074472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EE70B0BE-D89B-4BA2-B65F-A5B320430781}" sourceName="ciudad">
  <pivotTables>
    <pivotTable tabId="1" name="TablaDinámica2"/>
  </pivotTables>
  <data>
    <tabular pivotCacheId="167007447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 1" xr10:uid="{A11FEFFE-C38F-42AB-9234-FF2E3DE5C075}" cache="SegmentaciónDeDatos_sucursal" caption="sucursal" style="SlicerStyleOther2" rowHeight="241300"/>
  <slicer name="ciudad 1" xr10:uid="{8DEEE158-AC00-4919-B8D6-5F1119EF258E}" cache="SegmentaciónDeDatos_ciudad" caption="ciudad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63F9CA-B2D5-4EC1-A4EF-FE506CA1CAA0}" name="Tabla6" displayName="Tabla6" ref="A1:H19" totalsRowShown="0" dataDxfId="37" dataCellStyle="Millares">
  <autoFilter ref="A1:H19" xr:uid="{8D63F9CA-B2D5-4EC1-A4EF-FE506CA1CAA0}"/>
  <tableColumns count="8">
    <tableColumn id="1" xr3:uid="{B23D6FF6-FD0B-4B88-AC1D-6CB462115610}" name="sucursal"/>
    <tableColumn id="2" xr3:uid="{93CE8CAE-E4F9-4EE7-A39A-2FB7CF950039}" name="ciudad"/>
    <tableColumn id="3" xr3:uid="{CA2BF2E4-7FF1-4CB2-93E1-A6D910776CC8}" name="categoría_de_producto"/>
    <tableColumn id="4" xr3:uid="{58C68C40-58B9-45D2-8DA5-AD1017A4FE80}" name="unidades_vendidas" dataDxfId="36" dataCellStyle="Millares"/>
    <tableColumn id="5" xr3:uid="{C68CC3E1-1ACB-40D4-8D5D-14D1E6F4AB83}" name="costo_total" dataDxfId="35" dataCellStyle="Millares"/>
    <tableColumn id="6" xr3:uid="{827E0BBF-771A-4F06-80CE-36371A10AEA6}" name="beneficio_bruto_total" dataDxfId="34" dataCellStyle="Millares"/>
    <tableColumn id="7" xr3:uid="{FCC446A1-5AAD-47AE-AE0D-07C8FDE01746}" name="venta_total_acumulada" dataDxfId="33" dataCellStyle="Millares"/>
    <tableColumn id="8" xr3:uid="{57C2A35C-D771-470D-9686-FBB545A0BA22}" name="margen_real_porcentaje" dataDxfId="32" dataCellStyle="Millar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99EDC3-924B-41C7-B230-BFAFC9206F8A}" name="Tabla5" displayName="Tabla5" ref="A1:F5" totalsRowShown="0">
  <autoFilter ref="A1:F5" xr:uid="{B799EDC3-924B-41C7-B230-BFAFC9206F8A}"/>
  <tableColumns count="6">
    <tableColumn id="1" xr3:uid="{CFA50BF7-0808-40DE-BA54-80410C93B9BB}" name="tipo_de_cliente"/>
    <tableColumn id="2" xr3:uid="{17DB74EF-FD03-4699-8F02-FB0A0DF962C7}" name="género"/>
    <tableColumn id="3" xr3:uid="{24C7AE51-532D-4DF4-824F-70C4B3DADA07}" name="total_transacciones" dataCellStyle="Millares"/>
    <tableColumn id="4" xr3:uid="{F370983E-BB1D-42EA-9E22-85E66616B9D1}" name="ticket_promedio(imp_inc)" dataCellStyle="Millares"/>
    <tableColumn id="5" xr3:uid="{42B67D2B-038A-419A-97F1-8BACAA870323}" name="articulos_promedio_por_ticket" dataCellStyle="Millares"/>
    <tableColumn id="6" xr3:uid="{49BA9ECF-89BA-47C7-813E-325A9000614C}" name="ganancia_total_aportada" dataCellStyle="Millares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CB2FB-679A-48B0-8971-330A788C19EF}" name="Tabla4" displayName="Tabla4" ref="A1:G22" totalsRowShown="0" dataDxfId="31" dataCellStyle="Millares">
  <autoFilter ref="A1:G22" xr:uid="{57DCB2FB-679A-48B0-8971-330A788C19EF}"/>
  <tableColumns count="7">
    <tableColumn id="1" xr3:uid="{095AB286-66A5-4A9D-8E3F-C36498A95460}" name="número_día_semana"/>
    <tableColumn id="2" xr3:uid="{D5ED5E4F-55E0-444E-A4C3-1720D6714DDC}" name="día_semana"/>
    <tableColumn id="3" xr3:uid="{07C0A7C2-275B-42F8-AF57-C52C57EFFDE3}" name="método_de_pago"/>
    <tableColumn id="4" xr3:uid="{460A31CF-7A7C-4467-B8CF-9BABA0B85819}" name="cantidad_pagos"/>
    <tableColumn id="5" xr3:uid="{8DA9D75A-9F67-45A2-B640-D78C2DB75E49}" name="facturación_total(imp_inc)" dataDxfId="30" dataCellStyle="Millares"/>
    <tableColumn id="6" xr3:uid="{44B41166-2967-44BF-91B8-A247CA6AD3DF}" name="carga_fiscal_total" dataDxfId="29" dataCellStyle="Millares"/>
    <tableColumn id="7" xr3:uid="{251DF8D4-BCBC-4EEF-B94E-1FEC1CC114D1}" name="calificación_promedio" dataDxfId="28" dataCellStyle="Millares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E4B80E-7C54-4B88-88B4-F816C7143CB4}" name="Tabla3" displayName="Tabla3" ref="A1:F19" totalsRowShown="0" dataDxfId="27" dataCellStyle="Millares">
  <autoFilter ref="A1:F19" xr:uid="{14E4B80E-7C54-4B88-88B4-F816C7143CB4}"/>
  <tableColumns count="6">
    <tableColumn id="1" xr3:uid="{0F84B9F5-96F3-4C33-858E-0DF90AC985E4}" name="franja_horaria"/>
    <tableColumn id="2" xr3:uid="{E08CAEBC-4134-4350-BEE8-6EAF7346A9FE}" name="categoría_de_producto"/>
    <tableColumn id="3" xr3:uid="{710312E5-6E89-42D0-AD74-F06EF164F2BC}" name="cantidad_transacciones" dataDxfId="26" dataCellStyle="Millares"/>
    <tableColumn id="4" xr3:uid="{09A637DC-4E05-4B12-A808-4BD6268EA959}" name="unidades_vendidas" dataDxfId="25" dataCellStyle="Millares"/>
    <tableColumn id="5" xr3:uid="{25C6D8A6-ECA2-4CEF-8243-385FB9B7670E}" name="venta_total(imp_inc)" dataDxfId="24" dataCellStyle="Millares"/>
    <tableColumn id="6" xr3:uid="{85EC8FF4-E3AB-4DE3-BF74-51A768DF7DB0}" name="ganancia_total_generada" dataDxfId="23" dataCellStyle="Millare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I24" sqref="I24"/>
    </sheetView>
  </sheetViews>
  <sheetFormatPr baseColWidth="10" defaultColWidth="9.140625" defaultRowHeight="15" x14ac:dyDescent="0.25"/>
  <cols>
    <col min="1" max="1" width="10.42578125" bestFit="1" customWidth="1"/>
    <col min="2" max="2" width="23" bestFit="1" customWidth="1"/>
    <col min="3" max="3" width="19.7109375" bestFit="1" customWidth="1"/>
    <col min="4" max="4" width="34.5703125" bestFit="1" customWidth="1"/>
    <col min="5" max="5" width="20.5703125" customWidth="1"/>
    <col min="6" max="6" width="22.5703125" customWidth="1"/>
    <col min="7" max="7" width="24.28515625" bestFit="1" customWidth="1"/>
    <col min="8" max="8" width="2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54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s="5">
        <v>265</v>
      </c>
      <c r="E2" s="5">
        <v>15011.36</v>
      </c>
      <c r="F2" s="5">
        <v>750.63</v>
      </c>
      <c r="G2" s="5">
        <v>15761.99</v>
      </c>
      <c r="H2" s="5">
        <v>4.76</v>
      </c>
    </row>
    <row r="3" spans="1:8" x14ac:dyDescent="0.25">
      <c r="A3" t="s">
        <v>10</v>
      </c>
      <c r="B3" t="s">
        <v>11</v>
      </c>
      <c r="C3" t="s">
        <v>12</v>
      </c>
      <c r="D3" s="5">
        <v>316</v>
      </c>
      <c r="E3" s="5">
        <v>16239.47</v>
      </c>
      <c r="F3" s="5">
        <v>812.05</v>
      </c>
      <c r="G3" s="5">
        <v>17051.52</v>
      </c>
      <c r="H3" s="5">
        <v>4.76</v>
      </c>
    </row>
    <row r="4" spans="1:8" x14ac:dyDescent="0.25">
      <c r="A4" t="s">
        <v>13</v>
      </c>
      <c r="B4" t="s">
        <v>14</v>
      </c>
      <c r="C4" t="s">
        <v>15</v>
      </c>
      <c r="D4" s="5">
        <v>371</v>
      </c>
      <c r="E4" s="5">
        <v>21349.71</v>
      </c>
      <c r="F4" s="5">
        <v>1067.5</v>
      </c>
      <c r="G4" s="5">
        <v>22417.21</v>
      </c>
      <c r="H4" s="5">
        <v>4.76</v>
      </c>
    </row>
    <row r="5" spans="1:8" x14ac:dyDescent="0.25">
      <c r="A5" t="s">
        <v>7</v>
      </c>
      <c r="B5" t="s">
        <v>8</v>
      </c>
      <c r="C5" t="s">
        <v>16</v>
      </c>
      <c r="D5" s="5">
        <v>342</v>
      </c>
      <c r="E5" s="5">
        <v>20533.400000000001</v>
      </c>
      <c r="F5" s="5">
        <v>1026.71</v>
      </c>
      <c r="G5" s="5">
        <v>21560.11</v>
      </c>
      <c r="H5" s="5">
        <v>4.76</v>
      </c>
    </row>
    <row r="6" spans="1:8" x14ac:dyDescent="0.25">
      <c r="A6" t="s">
        <v>13</v>
      </c>
      <c r="B6" t="s">
        <v>14</v>
      </c>
      <c r="C6" t="s">
        <v>17</v>
      </c>
      <c r="D6" s="5">
        <v>313</v>
      </c>
      <c r="E6" s="5">
        <v>16345.81</v>
      </c>
      <c r="F6" s="5">
        <v>817.34</v>
      </c>
      <c r="G6" s="5">
        <v>17163.150000000001</v>
      </c>
      <c r="H6" s="5">
        <v>4.76</v>
      </c>
    </row>
    <row r="7" spans="1:8" x14ac:dyDescent="0.25">
      <c r="A7" t="s">
        <v>7</v>
      </c>
      <c r="B7" t="s">
        <v>8</v>
      </c>
      <c r="C7" t="s">
        <v>15</v>
      </c>
      <c r="D7" s="5">
        <v>245</v>
      </c>
      <c r="E7" s="5">
        <v>13233.86</v>
      </c>
      <c r="F7" s="5">
        <v>661.68</v>
      </c>
      <c r="G7" s="5">
        <v>13895.54</v>
      </c>
      <c r="H7" s="5">
        <v>4.76</v>
      </c>
    </row>
    <row r="8" spans="1:8" x14ac:dyDescent="0.25">
      <c r="A8" t="s">
        <v>10</v>
      </c>
      <c r="B8" t="s">
        <v>11</v>
      </c>
      <c r="C8" t="s">
        <v>18</v>
      </c>
      <c r="D8" s="5">
        <v>320</v>
      </c>
      <c r="E8" s="5">
        <v>19029.2</v>
      </c>
      <c r="F8" s="5">
        <v>951.5</v>
      </c>
      <c r="G8" s="5">
        <v>19980.7</v>
      </c>
      <c r="H8" s="5">
        <v>4.76</v>
      </c>
    </row>
    <row r="9" spans="1:8" x14ac:dyDescent="0.25">
      <c r="A9" t="s">
        <v>13</v>
      </c>
      <c r="B9" t="s">
        <v>14</v>
      </c>
      <c r="C9" t="s">
        <v>16</v>
      </c>
      <c r="D9" s="5">
        <v>263</v>
      </c>
      <c r="E9" s="5">
        <v>15554.77</v>
      </c>
      <c r="F9" s="5">
        <v>777.77</v>
      </c>
      <c r="G9" s="5">
        <v>16332.54</v>
      </c>
      <c r="H9" s="5">
        <v>4.76</v>
      </c>
    </row>
    <row r="10" spans="1:8" x14ac:dyDescent="0.25">
      <c r="A10" t="s">
        <v>7</v>
      </c>
      <c r="B10" t="s">
        <v>8</v>
      </c>
      <c r="C10" t="s">
        <v>17</v>
      </c>
      <c r="D10" s="5">
        <v>369</v>
      </c>
      <c r="E10" s="5">
        <v>22635.1</v>
      </c>
      <c r="F10" s="5">
        <v>1131.78</v>
      </c>
      <c r="G10" s="5">
        <v>23766.880000000001</v>
      </c>
      <c r="H10" s="5">
        <v>4.76</v>
      </c>
    </row>
    <row r="11" spans="1:8" x14ac:dyDescent="0.25">
      <c r="A11" t="s">
        <v>7</v>
      </c>
      <c r="B11" t="s">
        <v>8</v>
      </c>
      <c r="C11" t="s">
        <v>12</v>
      </c>
      <c r="D11" s="5">
        <v>333</v>
      </c>
      <c r="E11" s="5">
        <v>18065.689999999999</v>
      </c>
      <c r="F11" s="5">
        <v>903.3</v>
      </c>
      <c r="G11" s="5">
        <v>18968.990000000002</v>
      </c>
      <c r="H11" s="5">
        <v>4.76</v>
      </c>
    </row>
    <row r="12" spans="1:8" x14ac:dyDescent="0.25">
      <c r="A12" t="s">
        <v>10</v>
      </c>
      <c r="B12" t="s">
        <v>11</v>
      </c>
      <c r="C12" t="s">
        <v>16</v>
      </c>
      <c r="D12" s="5">
        <v>297</v>
      </c>
      <c r="E12" s="5">
        <v>15631.73</v>
      </c>
      <c r="F12" s="5">
        <v>781.65</v>
      </c>
      <c r="G12" s="5">
        <v>16413.38</v>
      </c>
      <c r="H12" s="5">
        <v>4.76</v>
      </c>
    </row>
    <row r="13" spans="1:8" x14ac:dyDescent="0.25">
      <c r="A13" t="s">
        <v>7</v>
      </c>
      <c r="B13" t="s">
        <v>8</v>
      </c>
      <c r="C13" t="s">
        <v>18</v>
      </c>
      <c r="D13" s="5">
        <v>277</v>
      </c>
      <c r="E13" s="5">
        <v>15824.12</v>
      </c>
      <c r="F13" s="5">
        <v>791.23</v>
      </c>
      <c r="G13" s="5">
        <v>16615.349999999999</v>
      </c>
      <c r="H13" s="5">
        <v>4.76</v>
      </c>
    </row>
    <row r="14" spans="1:8" x14ac:dyDescent="0.25">
      <c r="A14" t="s">
        <v>10</v>
      </c>
      <c r="B14" t="s">
        <v>11</v>
      </c>
      <c r="C14" t="s">
        <v>15</v>
      </c>
      <c r="D14" s="5">
        <v>295</v>
      </c>
      <c r="E14" s="5">
        <v>16713.490000000002</v>
      </c>
      <c r="F14" s="5">
        <v>835.72</v>
      </c>
      <c r="G14" s="5">
        <v>17549.21</v>
      </c>
      <c r="H14" s="5">
        <v>4.76</v>
      </c>
    </row>
    <row r="15" spans="1:8" x14ac:dyDescent="0.25">
      <c r="A15" t="s">
        <v>13</v>
      </c>
      <c r="B15" t="s">
        <v>14</v>
      </c>
      <c r="C15" t="s">
        <v>9</v>
      </c>
      <c r="D15" s="5">
        <v>333</v>
      </c>
      <c r="E15" s="5">
        <v>18450.189999999999</v>
      </c>
      <c r="F15" s="5">
        <v>922.56</v>
      </c>
      <c r="G15" s="5">
        <v>19372.75</v>
      </c>
      <c r="H15" s="5">
        <v>4.76</v>
      </c>
    </row>
    <row r="16" spans="1:8" x14ac:dyDescent="0.25">
      <c r="A16" t="s">
        <v>10</v>
      </c>
      <c r="B16" t="s">
        <v>11</v>
      </c>
      <c r="C16" t="s">
        <v>9</v>
      </c>
      <c r="D16" s="5">
        <v>322</v>
      </c>
      <c r="E16" s="5">
        <v>19036.38</v>
      </c>
      <c r="F16" s="5">
        <v>951.88</v>
      </c>
      <c r="G16" s="5">
        <v>19988.259999999998</v>
      </c>
      <c r="H16" s="5">
        <v>4.76</v>
      </c>
    </row>
    <row r="17" spans="1:8" x14ac:dyDescent="0.25">
      <c r="A17" t="s">
        <v>10</v>
      </c>
      <c r="B17" t="s">
        <v>11</v>
      </c>
      <c r="C17" t="s">
        <v>17</v>
      </c>
      <c r="D17" s="5">
        <v>270</v>
      </c>
      <c r="E17" s="5">
        <v>14490.37</v>
      </c>
      <c r="F17" s="5">
        <v>724.56</v>
      </c>
      <c r="G17" s="5">
        <v>15214.93</v>
      </c>
      <c r="H17" s="5">
        <v>4.76</v>
      </c>
    </row>
    <row r="18" spans="1:8" x14ac:dyDescent="0.25">
      <c r="A18" t="s">
        <v>13</v>
      </c>
      <c r="B18" t="s">
        <v>14</v>
      </c>
      <c r="C18" t="s">
        <v>18</v>
      </c>
      <c r="D18" s="5">
        <v>257</v>
      </c>
      <c r="E18" s="5">
        <v>11997.86</v>
      </c>
      <c r="F18" s="5">
        <v>599.92999999999995</v>
      </c>
      <c r="G18" s="5">
        <v>12597.79</v>
      </c>
      <c r="H18" s="5">
        <v>4.76</v>
      </c>
    </row>
    <row r="19" spans="1:8" x14ac:dyDescent="0.25">
      <c r="A19" t="s">
        <v>13</v>
      </c>
      <c r="B19" t="s">
        <v>14</v>
      </c>
      <c r="C19" t="s">
        <v>12</v>
      </c>
      <c r="D19" s="5">
        <v>322</v>
      </c>
      <c r="E19" s="5">
        <v>17444.87</v>
      </c>
      <c r="F19" s="5">
        <v>872.26</v>
      </c>
      <c r="G19" s="5">
        <v>18317.13</v>
      </c>
      <c r="H19" s="5">
        <v>4.76</v>
      </c>
    </row>
    <row r="23" spans="1:8" x14ac:dyDescent="0.25">
      <c r="B23" s="1" t="s">
        <v>60</v>
      </c>
      <c r="C23" t="s">
        <v>58</v>
      </c>
      <c r="D23" t="s">
        <v>59</v>
      </c>
    </row>
    <row r="24" spans="1:8" x14ac:dyDescent="0.25">
      <c r="B24" s="2" t="s">
        <v>12</v>
      </c>
      <c r="C24" s="4">
        <v>2587.6099999999997</v>
      </c>
      <c r="D24" s="4">
        <v>4.76</v>
      </c>
    </row>
    <row r="25" spans="1:8" x14ac:dyDescent="0.25">
      <c r="B25" s="2" t="s">
        <v>16</v>
      </c>
      <c r="C25" s="4">
        <v>2586.13</v>
      </c>
      <c r="D25" s="4">
        <v>4.76</v>
      </c>
    </row>
    <row r="26" spans="1:8" x14ac:dyDescent="0.25">
      <c r="B26" s="2" t="s">
        <v>17</v>
      </c>
      <c r="C26" s="4">
        <v>2673.68</v>
      </c>
      <c r="D26" s="4">
        <v>4.76</v>
      </c>
    </row>
    <row r="27" spans="1:8" x14ac:dyDescent="0.25">
      <c r="B27" s="2" t="s">
        <v>18</v>
      </c>
      <c r="C27" s="4">
        <v>2342.66</v>
      </c>
      <c r="D27" s="4">
        <v>4.76</v>
      </c>
    </row>
    <row r="28" spans="1:8" x14ac:dyDescent="0.25">
      <c r="B28" s="2" t="s">
        <v>15</v>
      </c>
      <c r="C28" s="4">
        <v>2564.8999999999996</v>
      </c>
      <c r="D28" s="4">
        <v>4.76</v>
      </c>
    </row>
    <row r="29" spans="1:8" x14ac:dyDescent="0.25">
      <c r="B29" s="2" t="s">
        <v>9</v>
      </c>
      <c r="C29" s="4">
        <v>2625.07</v>
      </c>
      <c r="D29" s="4">
        <v>4.76</v>
      </c>
    </row>
    <row r="30" spans="1:8" x14ac:dyDescent="0.25">
      <c r="B30" s="2" t="s">
        <v>53</v>
      </c>
      <c r="C30" s="4">
        <v>15380.049999999997</v>
      </c>
      <c r="D30" s="4">
        <v>4.7600000000000007</v>
      </c>
    </row>
  </sheetData>
  <pageMargins left="0.75" right="0.75" top="1" bottom="1" header="0.5" footer="0.5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D28" sqref="D28"/>
    </sheetView>
  </sheetViews>
  <sheetFormatPr baseColWidth="10" defaultColWidth="9.140625" defaultRowHeight="15" x14ac:dyDescent="0.25"/>
  <cols>
    <col min="1" max="1" width="17.140625" customWidth="1"/>
    <col min="2" max="2" width="9.42578125" customWidth="1"/>
    <col min="3" max="3" width="20.28515625" customWidth="1"/>
    <col min="4" max="4" width="26.28515625" customWidth="1"/>
    <col min="5" max="5" width="30.42578125" customWidth="1"/>
    <col min="6" max="6" width="24.85546875" customWidth="1"/>
  </cols>
  <sheetData>
    <row r="1" spans="1:1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10" x14ac:dyDescent="0.25">
      <c r="A2" t="s">
        <v>25</v>
      </c>
      <c r="B2" t="s">
        <v>26</v>
      </c>
      <c r="C2" s="5">
        <v>356</v>
      </c>
      <c r="D2" s="5">
        <v>351.7</v>
      </c>
      <c r="E2" s="5">
        <v>5.84</v>
      </c>
      <c r="F2" s="5">
        <v>5962.43</v>
      </c>
    </row>
    <row r="3" spans="1:10" x14ac:dyDescent="0.25">
      <c r="A3" t="s">
        <v>27</v>
      </c>
      <c r="B3" t="s">
        <v>28</v>
      </c>
      <c r="C3" s="5">
        <v>220</v>
      </c>
      <c r="D3" s="5">
        <v>290.02999999999997</v>
      </c>
      <c r="E3" s="5">
        <v>5.09</v>
      </c>
      <c r="F3" s="5">
        <v>3038.53</v>
      </c>
      <c r="I3" s="7"/>
      <c r="J3" s="7"/>
    </row>
    <row r="4" spans="1:10" x14ac:dyDescent="0.25">
      <c r="A4" t="s">
        <v>27</v>
      </c>
      <c r="B4" t="s">
        <v>26</v>
      </c>
      <c r="C4" s="5">
        <v>215</v>
      </c>
      <c r="D4" s="5">
        <v>323.10000000000002</v>
      </c>
      <c r="E4" s="5">
        <v>5.62</v>
      </c>
      <c r="F4" s="5">
        <v>3308.04</v>
      </c>
      <c r="I4" s="7"/>
      <c r="J4" s="7"/>
    </row>
    <row r="5" spans="1:10" x14ac:dyDescent="0.25">
      <c r="A5" t="s">
        <v>25</v>
      </c>
      <c r="B5" t="s">
        <v>28</v>
      </c>
      <c r="C5" s="5">
        <v>209</v>
      </c>
      <c r="D5" s="5">
        <v>308.56</v>
      </c>
      <c r="E5" s="5">
        <v>5.27</v>
      </c>
      <c r="F5" s="5">
        <v>3071.05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Normal="100" workbookViewId="0">
      <selection activeCell="E4" sqref="E4"/>
    </sheetView>
  </sheetViews>
  <sheetFormatPr baseColWidth="10" defaultColWidth="9.140625" defaultRowHeight="15" x14ac:dyDescent="0.25"/>
  <cols>
    <col min="1" max="1" width="22" bestFit="1" customWidth="1"/>
    <col min="2" max="2" width="26" bestFit="1" customWidth="1"/>
    <col min="3" max="3" width="19" bestFit="1" customWidth="1"/>
    <col min="4" max="4" width="17" bestFit="1" customWidth="1"/>
    <col min="5" max="5" width="27" bestFit="1" customWidth="1"/>
    <col min="6" max="6" width="18.7109375" bestFit="1" customWidth="1"/>
    <col min="7" max="7" width="22.7109375" customWidth="1"/>
    <col min="8" max="11" width="11.7109375" customWidth="1"/>
  </cols>
  <sheetData>
    <row r="1" spans="1:7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>
        <v>5</v>
      </c>
      <c r="B2" t="s">
        <v>36</v>
      </c>
      <c r="C2" t="s">
        <v>37</v>
      </c>
      <c r="D2">
        <v>43</v>
      </c>
      <c r="E2" s="5">
        <v>13118.55</v>
      </c>
      <c r="F2" s="5">
        <v>624.73</v>
      </c>
      <c r="G2" s="5">
        <v>7.07</v>
      </c>
    </row>
    <row r="3" spans="1:7" x14ac:dyDescent="0.25">
      <c r="A3">
        <v>6</v>
      </c>
      <c r="B3" t="s">
        <v>38</v>
      </c>
      <c r="C3" t="s">
        <v>39</v>
      </c>
      <c r="D3">
        <v>47</v>
      </c>
      <c r="E3" s="5">
        <v>16573.84</v>
      </c>
      <c r="F3" s="5">
        <v>789.26</v>
      </c>
      <c r="G3" s="5">
        <v>7.26</v>
      </c>
    </row>
    <row r="4" spans="1:7" x14ac:dyDescent="0.25">
      <c r="A4">
        <v>5</v>
      </c>
      <c r="B4" t="s">
        <v>36</v>
      </c>
      <c r="C4" t="s">
        <v>40</v>
      </c>
      <c r="D4">
        <v>48</v>
      </c>
      <c r="E4" s="5">
        <v>15098.42</v>
      </c>
      <c r="F4" s="5">
        <v>719.01</v>
      </c>
      <c r="G4" s="5">
        <v>7.09</v>
      </c>
    </row>
    <row r="5" spans="1:7" x14ac:dyDescent="0.25">
      <c r="A5">
        <v>7</v>
      </c>
      <c r="B5" t="s">
        <v>41</v>
      </c>
      <c r="C5" t="s">
        <v>39</v>
      </c>
      <c r="D5">
        <v>41</v>
      </c>
      <c r="E5" s="5">
        <v>13261.89</v>
      </c>
      <c r="F5" s="5">
        <v>631.57000000000005</v>
      </c>
      <c r="G5" s="5">
        <v>6.86</v>
      </c>
    </row>
    <row r="6" spans="1:7" x14ac:dyDescent="0.25">
      <c r="A6">
        <v>6</v>
      </c>
      <c r="B6" t="s">
        <v>38</v>
      </c>
      <c r="C6" t="s">
        <v>40</v>
      </c>
      <c r="D6">
        <v>60</v>
      </c>
      <c r="E6" s="5">
        <v>19022.919999999998</v>
      </c>
      <c r="F6" s="5">
        <v>905.88</v>
      </c>
      <c r="G6" s="5">
        <v>6.75</v>
      </c>
    </row>
    <row r="7" spans="1:7" x14ac:dyDescent="0.25">
      <c r="A7">
        <v>4</v>
      </c>
      <c r="B7" t="s">
        <v>42</v>
      </c>
      <c r="C7" t="s">
        <v>37</v>
      </c>
      <c r="D7">
        <v>57</v>
      </c>
      <c r="E7" s="5">
        <v>18530.04</v>
      </c>
      <c r="F7" s="5">
        <v>882.42</v>
      </c>
      <c r="G7" s="5">
        <v>6.93</v>
      </c>
    </row>
    <row r="8" spans="1:7" x14ac:dyDescent="0.25">
      <c r="A8">
        <v>1</v>
      </c>
      <c r="B8" t="s">
        <v>43</v>
      </c>
      <c r="C8" t="s">
        <v>40</v>
      </c>
      <c r="D8">
        <v>47</v>
      </c>
      <c r="E8" s="5">
        <v>13127.22</v>
      </c>
      <c r="F8" s="5">
        <v>625.11</v>
      </c>
      <c r="G8" s="5">
        <v>7.43</v>
      </c>
    </row>
    <row r="9" spans="1:7" x14ac:dyDescent="0.25">
      <c r="A9">
        <v>3</v>
      </c>
      <c r="B9" t="s">
        <v>44</v>
      </c>
      <c r="C9" t="s">
        <v>39</v>
      </c>
      <c r="D9">
        <v>49</v>
      </c>
      <c r="E9" s="5">
        <v>13487.15</v>
      </c>
      <c r="F9" s="5">
        <v>642.27</v>
      </c>
      <c r="G9" s="5">
        <v>6.97</v>
      </c>
    </row>
    <row r="10" spans="1:7" x14ac:dyDescent="0.25">
      <c r="A10">
        <v>7</v>
      </c>
      <c r="B10" t="s">
        <v>41</v>
      </c>
      <c r="C10" t="s">
        <v>37</v>
      </c>
      <c r="D10">
        <v>45</v>
      </c>
      <c r="E10" s="5">
        <v>13537.6</v>
      </c>
      <c r="F10" s="5">
        <v>644.69000000000005</v>
      </c>
      <c r="G10" s="5">
        <v>7.42</v>
      </c>
    </row>
    <row r="11" spans="1:7" x14ac:dyDescent="0.25">
      <c r="A11">
        <v>4</v>
      </c>
      <c r="B11" t="s">
        <v>42</v>
      </c>
      <c r="C11" t="s">
        <v>40</v>
      </c>
      <c r="D11">
        <v>45</v>
      </c>
      <c r="E11" s="5">
        <v>14742.27</v>
      </c>
      <c r="F11" s="5">
        <v>702.05</v>
      </c>
      <c r="G11" s="5">
        <v>6.78</v>
      </c>
    </row>
    <row r="12" spans="1:7" x14ac:dyDescent="0.25">
      <c r="A12">
        <v>2</v>
      </c>
      <c r="B12" t="s">
        <v>45</v>
      </c>
      <c r="C12" t="s">
        <v>37</v>
      </c>
      <c r="D12">
        <v>56</v>
      </c>
      <c r="E12" s="5">
        <v>19230.509999999998</v>
      </c>
      <c r="F12" s="5">
        <v>915.8</v>
      </c>
      <c r="G12" s="5">
        <v>6.83</v>
      </c>
    </row>
    <row r="13" spans="1:7" x14ac:dyDescent="0.25">
      <c r="A13">
        <v>2</v>
      </c>
      <c r="B13" t="s">
        <v>45</v>
      </c>
      <c r="C13" t="s">
        <v>39</v>
      </c>
      <c r="D13">
        <v>52</v>
      </c>
      <c r="E13" s="5">
        <v>17154.2</v>
      </c>
      <c r="F13" s="5">
        <v>816.93</v>
      </c>
      <c r="G13" s="5">
        <v>7.02</v>
      </c>
    </row>
    <row r="14" spans="1:7" x14ac:dyDescent="0.25">
      <c r="A14">
        <v>1</v>
      </c>
      <c r="B14" t="s">
        <v>43</v>
      </c>
      <c r="C14" t="s">
        <v>39</v>
      </c>
      <c r="D14">
        <v>38</v>
      </c>
      <c r="E14" s="5">
        <v>12503.72</v>
      </c>
      <c r="F14" s="5">
        <v>595.42999999999995</v>
      </c>
      <c r="G14" s="5">
        <v>6.81</v>
      </c>
    </row>
    <row r="15" spans="1:7" x14ac:dyDescent="0.25">
      <c r="A15">
        <v>2</v>
      </c>
      <c r="B15" t="s">
        <v>45</v>
      </c>
      <c r="C15" t="s">
        <v>40</v>
      </c>
      <c r="D15">
        <v>50</v>
      </c>
      <c r="E15" s="5">
        <v>15097.68</v>
      </c>
      <c r="F15" s="5">
        <v>718.95</v>
      </c>
      <c r="G15" s="5">
        <v>7.18</v>
      </c>
    </row>
    <row r="16" spans="1:7" x14ac:dyDescent="0.25">
      <c r="A16">
        <v>6</v>
      </c>
      <c r="B16" t="s">
        <v>38</v>
      </c>
      <c r="C16" t="s">
        <v>37</v>
      </c>
      <c r="D16">
        <v>57</v>
      </c>
      <c r="E16" s="5">
        <v>20524.099999999999</v>
      </c>
      <c r="F16" s="5">
        <v>977.33</v>
      </c>
      <c r="G16" s="5">
        <v>6.77</v>
      </c>
    </row>
    <row r="17" spans="1:7" x14ac:dyDescent="0.25">
      <c r="A17">
        <v>5</v>
      </c>
      <c r="B17" t="s">
        <v>36</v>
      </c>
      <c r="C17" t="s">
        <v>39</v>
      </c>
      <c r="D17">
        <v>48</v>
      </c>
      <c r="E17" s="5">
        <v>15709.46</v>
      </c>
      <c r="F17" s="5">
        <v>748.08</v>
      </c>
      <c r="G17" s="5">
        <v>7.07</v>
      </c>
    </row>
    <row r="18" spans="1:7" x14ac:dyDescent="0.25">
      <c r="A18">
        <v>3</v>
      </c>
      <c r="B18" t="s">
        <v>44</v>
      </c>
      <c r="C18" t="s">
        <v>37</v>
      </c>
      <c r="D18">
        <v>47</v>
      </c>
      <c r="E18" s="5">
        <v>12784.37</v>
      </c>
      <c r="F18" s="5">
        <v>608.82000000000005</v>
      </c>
      <c r="G18" s="5">
        <v>6.59</v>
      </c>
    </row>
    <row r="19" spans="1:7" x14ac:dyDescent="0.25">
      <c r="A19">
        <v>3</v>
      </c>
      <c r="B19" t="s">
        <v>44</v>
      </c>
      <c r="C19" t="s">
        <v>40</v>
      </c>
      <c r="D19">
        <v>47</v>
      </c>
      <c r="E19" s="5">
        <v>17459.72</v>
      </c>
      <c r="F19" s="5">
        <v>831.45</v>
      </c>
      <c r="G19" s="5">
        <v>6.86</v>
      </c>
    </row>
    <row r="20" spans="1:7" x14ac:dyDescent="0.25">
      <c r="A20">
        <v>4</v>
      </c>
      <c r="B20" t="s">
        <v>42</v>
      </c>
      <c r="C20" t="s">
        <v>39</v>
      </c>
      <c r="D20">
        <v>36</v>
      </c>
      <c r="E20" s="5">
        <v>12077.03</v>
      </c>
      <c r="F20" s="5">
        <v>575.11</v>
      </c>
      <c r="G20" s="5">
        <v>6.97</v>
      </c>
    </row>
    <row r="21" spans="1:7" x14ac:dyDescent="0.25">
      <c r="A21">
        <v>1</v>
      </c>
      <c r="B21" t="s">
        <v>43</v>
      </c>
      <c r="C21" t="s">
        <v>37</v>
      </c>
      <c r="D21">
        <v>40</v>
      </c>
      <c r="E21" s="5">
        <v>12268.21</v>
      </c>
      <c r="F21" s="5">
        <v>584.25</v>
      </c>
      <c r="G21" s="5">
        <v>7.16</v>
      </c>
    </row>
    <row r="22" spans="1:7" x14ac:dyDescent="0.25">
      <c r="A22">
        <v>7</v>
      </c>
      <c r="B22" t="s">
        <v>41</v>
      </c>
      <c r="C22" t="s">
        <v>40</v>
      </c>
      <c r="D22">
        <v>47</v>
      </c>
      <c r="E22" s="5">
        <v>17658.53</v>
      </c>
      <c r="F22" s="5">
        <v>840.91</v>
      </c>
      <c r="G22" s="5">
        <v>6.75</v>
      </c>
    </row>
    <row r="26" spans="1:7" x14ac:dyDescent="0.25">
      <c r="A26" s="3" t="s">
        <v>55</v>
      </c>
      <c r="B26" s="2" t="s">
        <v>56</v>
      </c>
      <c r="C26" s="2" t="s">
        <v>57</v>
      </c>
    </row>
    <row r="27" spans="1:7" x14ac:dyDescent="0.25">
      <c r="A27" s="2" t="s">
        <v>43</v>
      </c>
      <c r="B27" s="4">
        <v>37899.149999999994</v>
      </c>
      <c r="C27" s="4">
        <v>1804.79</v>
      </c>
    </row>
    <row r="28" spans="1:7" x14ac:dyDescent="0.25">
      <c r="A28" s="2" t="s">
        <v>45</v>
      </c>
      <c r="B28" s="4">
        <v>51482.39</v>
      </c>
      <c r="C28" s="4">
        <v>2451.6800000000003</v>
      </c>
    </row>
    <row r="29" spans="1:7" x14ac:dyDescent="0.25">
      <c r="A29" s="2" t="s">
        <v>44</v>
      </c>
      <c r="B29" s="4">
        <v>43731.240000000005</v>
      </c>
      <c r="C29" s="4">
        <v>2082.54</v>
      </c>
    </row>
    <row r="30" spans="1:7" x14ac:dyDescent="0.25">
      <c r="A30" s="2" t="s">
        <v>42</v>
      </c>
      <c r="B30" s="4">
        <v>45349.34</v>
      </c>
      <c r="C30" s="4">
        <v>2159.58</v>
      </c>
    </row>
    <row r="31" spans="1:7" x14ac:dyDescent="0.25">
      <c r="A31" s="2" t="s">
        <v>36</v>
      </c>
      <c r="B31" s="4">
        <v>43926.43</v>
      </c>
      <c r="C31" s="4">
        <v>2091.8200000000002</v>
      </c>
    </row>
    <row r="32" spans="1:7" x14ac:dyDescent="0.25">
      <c r="A32" s="2" t="s">
        <v>38</v>
      </c>
      <c r="B32" s="4">
        <v>56120.859999999993</v>
      </c>
      <c r="C32" s="4">
        <v>2672.47</v>
      </c>
    </row>
    <row r="33" spans="1:3" x14ac:dyDescent="0.25">
      <c r="A33" s="2" t="s">
        <v>41</v>
      </c>
      <c r="B33" s="4">
        <v>44458.02</v>
      </c>
      <c r="C33" s="4">
        <v>2117.17</v>
      </c>
    </row>
    <row r="34" spans="1:3" x14ac:dyDescent="0.25">
      <c r="A34" s="2" t="s">
        <v>53</v>
      </c>
      <c r="B34" s="4">
        <v>322967.43</v>
      </c>
      <c r="C34" s="4">
        <v>15380.05</v>
      </c>
    </row>
  </sheetData>
  <pageMargins left="0.75" right="0.75" top="1" bottom="1" header="0.5" footer="0.5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F27" sqref="F27"/>
    </sheetView>
  </sheetViews>
  <sheetFormatPr baseColWidth="10" defaultColWidth="9.140625" defaultRowHeight="15" x14ac:dyDescent="0.25"/>
  <cols>
    <col min="1" max="1" width="15.5703125" customWidth="1"/>
    <col min="2" max="2" width="23.5703125" customWidth="1"/>
    <col min="3" max="3" width="23.7109375" customWidth="1"/>
    <col min="4" max="4" width="20.28515625" customWidth="1"/>
    <col min="5" max="5" width="21.7109375" customWidth="1"/>
    <col min="6" max="6" width="25.28515625" customWidth="1"/>
  </cols>
  <sheetData>
    <row r="1" spans="1:10" x14ac:dyDescent="0.25">
      <c r="A1" t="s">
        <v>46</v>
      </c>
      <c r="B1" t="s">
        <v>2</v>
      </c>
      <c r="C1" t="s">
        <v>47</v>
      </c>
      <c r="D1" t="s">
        <v>3</v>
      </c>
      <c r="E1" t="s">
        <v>48</v>
      </c>
      <c r="F1" t="s">
        <v>49</v>
      </c>
    </row>
    <row r="2" spans="1:10" x14ac:dyDescent="0.25">
      <c r="A2" t="s">
        <v>50</v>
      </c>
      <c r="B2" t="s">
        <v>12</v>
      </c>
      <c r="C2" s="5">
        <v>35</v>
      </c>
      <c r="D2" s="5">
        <v>187</v>
      </c>
      <c r="E2" s="5">
        <v>10167.99</v>
      </c>
      <c r="F2" s="5">
        <v>484.23</v>
      </c>
    </row>
    <row r="3" spans="1:10" x14ac:dyDescent="0.25">
      <c r="A3" t="s">
        <v>50</v>
      </c>
      <c r="B3" t="s">
        <v>16</v>
      </c>
      <c r="C3" s="5">
        <v>28</v>
      </c>
      <c r="D3" s="5">
        <v>157</v>
      </c>
      <c r="E3" s="5">
        <v>10471.16</v>
      </c>
      <c r="F3" s="5">
        <v>498.64</v>
      </c>
    </row>
    <row r="4" spans="1:10" x14ac:dyDescent="0.25">
      <c r="A4" t="s">
        <v>50</v>
      </c>
      <c r="B4" t="s">
        <v>17</v>
      </c>
      <c r="C4" s="5">
        <v>31</v>
      </c>
      <c r="D4" s="5">
        <v>179</v>
      </c>
      <c r="E4" s="5">
        <v>11260.57</v>
      </c>
      <c r="F4" s="5">
        <v>536.24</v>
      </c>
    </row>
    <row r="5" spans="1:10" x14ac:dyDescent="0.25">
      <c r="A5" t="s">
        <v>50</v>
      </c>
      <c r="B5" t="s">
        <v>18</v>
      </c>
      <c r="C5" s="5">
        <v>27</v>
      </c>
      <c r="D5" s="5">
        <v>130</v>
      </c>
      <c r="E5" s="5">
        <v>8323.7099999999991</v>
      </c>
      <c r="F5" s="5">
        <v>396.4</v>
      </c>
    </row>
    <row r="6" spans="1:10" x14ac:dyDescent="0.25">
      <c r="A6" t="s">
        <v>50</v>
      </c>
      <c r="B6" t="s">
        <v>15</v>
      </c>
      <c r="C6" s="5">
        <v>39</v>
      </c>
      <c r="D6" s="5">
        <v>213</v>
      </c>
      <c r="E6" s="5">
        <v>12388.08</v>
      </c>
      <c r="F6" s="5">
        <v>589.92999999999995</v>
      </c>
    </row>
    <row r="7" spans="1:10" ht="15.75" x14ac:dyDescent="0.25">
      <c r="A7" t="s">
        <v>50</v>
      </c>
      <c r="B7" t="s">
        <v>9</v>
      </c>
      <c r="C7" s="5">
        <v>31</v>
      </c>
      <c r="D7" s="5">
        <v>172</v>
      </c>
      <c r="E7" s="5">
        <v>9187.49</v>
      </c>
      <c r="F7" s="5">
        <v>437.55</v>
      </c>
      <c r="I7" s="6" t="s">
        <v>50</v>
      </c>
      <c r="J7" s="6">
        <f>SUMIF($A$2:$A$19,I7,$F$2:$F$19)</f>
        <v>2942.9900000000002</v>
      </c>
    </row>
    <row r="8" spans="1:10" ht="15.75" x14ac:dyDescent="0.25">
      <c r="A8" t="s">
        <v>51</v>
      </c>
      <c r="B8" t="s">
        <v>12</v>
      </c>
      <c r="C8" s="5">
        <v>52</v>
      </c>
      <c r="D8" s="5">
        <v>298</v>
      </c>
      <c r="E8" s="5">
        <v>17821.04</v>
      </c>
      <c r="F8" s="5">
        <v>848.61</v>
      </c>
      <c r="I8" s="6" t="s">
        <v>52</v>
      </c>
      <c r="J8" s="6">
        <f t="shared" ref="J8:J9" si="0">SUMIF($A$2:$A$19,I8,$F$2:$F$19)</f>
        <v>8213.1600000000017</v>
      </c>
    </row>
    <row r="9" spans="1:10" ht="15.75" x14ac:dyDescent="0.25">
      <c r="A9" t="s">
        <v>51</v>
      </c>
      <c r="B9" t="s">
        <v>16</v>
      </c>
      <c r="C9" s="5">
        <v>54</v>
      </c>
      <c r="D9" s="5">
        <v>255</v>
      </c>
      <c r="E9" s="5">
        <v>12908.87</v>
      </c>
      <c r="F9" s="5">
        <v>614.75</v>
      </c>
      <c r="I9" s="6" t="s">
        <v>51</v>
      </c>
      <c r="J9" s="6">
        <f t="shared" si="0"/>
        <v>4223.8999999999996</v>
      </c>
    </row>
    <row r="10" spans="1:10" x14ac:dyDescent="0.25">
      <c r="A10" t="s">
        <v>51</v>
      </c>
      <c r="B10" t="s">
        <v>17</v>
      </c>
      <c r="C10" s="5">
        <v>63</v>
      </c>
      <c r="D10" s="5">
        <v>332</v>
      </c>
      <c r="E10" s="5">
        <v>19160.2</v>
      </c>
      <c r="F10" s="5">
        <v>912.43</v>
      </c>
    </row>
    <row r="11" spans="1:10" x14ac:dyDescent="0.25">
      <c r="A11" t="s">
        <v>51</v>
      </c>
      <c r="B11" t="s">
        <v>18</v>
      </c>
      <c r="C11" s="5">
        <v>42</v>
      </c>
      <c r="D11" s="5">
        <v>237</v>
      </c>
      <c r="E11" s="5">
        <v>13073.84</v>
      </c>
      <c r="F11" s="5">
        <v>622.58000000000004</v>
      </c>
    </row>
    <row r="12" spans="1:10" x14ac:dyDescent="0.25">
      <c r="A12" t="s">
        <v>51</v>
      </c>
      <c r="B12" t="s">
        <v>15</v>
      </c>
      <c r="C12" s="5">
        <v>34</v>
      </c>
      <c r="D12" s="5">
        <v>194</v>
      </c>
      <c r="E12" s="5">
        <v>11822.1</v>
      </c>
      <c r="F12" s="5">
        <v>562.96</v>
      </c>
    </row>
    <row r="13" spans="1:10" x14ac:dyDescent="0.25">
      <c r="A13" t="s">
        <v>51</v>
      </c>
      <c r="B13" t="s">
        <v>9</v>
      </c>
      <c r="C13" s="5">
        <v>36</v>
      </c>
      <c r="D13" s="5">
        <v>210</v>
      </c>
      <c r="E13" s="5">
        <v>13913.45</v>
      </c>
      <c r="F13" s="5">
        <v>662.57</v>
      </c>
    </row>
    <row r="14" spans="1:10" x14ac:dyDescent="0.25">
      <c r="A14" t="s">
        <v>52</v>
      </c>
      <c r="B14" t="s">
        <v>12</v>
      </c>
      <c r="C14" s="5">
        <v>83</v>
      </c>
      <c r="D14" s="5">
        <v>486</v>
      </c>
      <c r="E14" s="5">
        <v>26348.61</v>
      </c>
      <c r="F14" s="5">
        <v>1254.77</v>
      </c>
    </row>
    <row r="15" spans="1:10" x14ac:dyDescent="0.25">
      <c r="A15" t="s">
        <v>52</v>
      </c>
      <c r="B15" t="s">
        <v>16</v>
      </c>
      <c r="C15" s="5">
        <v>96</v>
      </c>
      <c r="D15" s="5">
        <v>490</v>
      </c>
      <c r="E15" s="5">
        <v>30926</v>
      </c>
      <c r="F15" s="5">
        <v>1472.74</v>
      </c>
    </row>
    <row r="16" spans="1:10" x14ac:dyDescent="0.25">
      <c r="A16" t="s">
        <v>52</v>
      </c>
      <c r="B16" t="s">
        <v>17</v>
      </c>
      <c r="C16" s="5">
        <v>80</v>
      </c>
      <c r="D16" s="5">
        <v>441</v>
      </c>
      <c r="E16" s="5">
        <v>25724.19</v>
      </c>
      <c r="F16" s="5">
        <v>1225.01</v>
      </c>
    </row>
    <row r="17" spans="1:6" x14ac:dyDescent="0.25">
      <c r="A17" t="s">
        <v>52</v>
      </c>
      <c r="B17" t="s">
        <v>18</v>
      </c>
      <c r="C17" s="5">
        <v>83</v>
      </c>
      <c r="D17" s="5">
        <v>487</v>
      </c>
      <c r="E17" s="5">
        <v>27796.29</v>
      </c>
      <c r="F17" s="5">
        <v>1323.68</v>
      </c>
    </row>
    <row r="18" spans="1:6" x14ac:dyDescent="0.25">
      <c r="A18" t="s">
        <v>52</v>
      </c>
      <c r="B18" t="s">
        <v>15</v>
      </c>
      <c r="C18" s="5">
        <v>87</v>
      </c>
      <c r="D18" s="5">
        <v>504</v>
      </c>
      <c r="E18" s="5">
        <v>29651.78</v>
      </c>
      <c r="F18" s="5">
        <v>1412.01</v>
      </c>
    </row>
    <row r="19" spans="1:6" x14ac:dyDescent="0.25">
      <c r="A19" t="s">
        <v>52</v>
      </c>
      <c r="B19" t="s">
        <v>9</v>
      </c>
      <c r="C19" s="5">
        <v>99</v>
      </c>
      <c r="D19" s="5">
        <v>538</v>
      </c>
      <c r="E19" s="5">
        <v>32022.06</v>
      </c>
      <c r="F19" s="5">
        <v>1524.95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Rentabilidad</vt:lpstr>
      <vt:lpstr>Ticket Promedio</vt:lpstr>
      <vt:lpstr>Análisis Temporal</vt:lpstr>
      <vt:lpstr>Franjas Horarias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Acerdan</cp:lastModifiedBy>
  <dcterms:created xsi:type="dcterms:W3CDTF">2026-09-16T21:28:55Z</dcterms:created>
  <dcterms:modified xsi:type="dcterms:W3CDTF">2026-09-20T01:52:33Z</dcterms:modified>
</cp:coreProperties>
</file>